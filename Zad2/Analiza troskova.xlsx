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a\Desktop\"/>
    </mc:Choice>
  </mc:AlternateContent>
  <xr:revisionPtr revIDLastSave="0" documentId="13_ncr:1_{4B5D44CD-AC04-4471-B074-F4EC6164E9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liza izvedivosti" sheetId="1" r:id="rId1"/>
    <sheet name="Analiza troškov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D22" i="2"/>
  <c r="D24" i="2"/>
  <c r="D23" i="2"/>
  <c r="D13" i="2"/>
  <c r="D12" i="2"/>
  <c r="D6" i="2"/>
  <c r="D7" i="2"/>
  <c r="D5" i="2"/>
  <c r="D26" i="2" l="1"/>
  <c r="D16" i="1"/>
  <c r="E16" i="1"/>
  <c r="F16" i="1"/>
  <c r="G16" i="1"/>
  <c r="H16" i="1"/>
  <c r="I16" i="1"/>
  <c r="J16" i="1"/>
  <c r="C16" i="1"/>
  <c r="D11" i="1"/>
  <c r="E11" i="1"/>
  <c r="F11" i="1"/>
  <c r="G11" i="1"/>
  <c r="H11" i="1"/>
  <c r="I11" i="1"/>
  <c r="J11" i="1"/>
  <c r="C11" i="1"/>
  <c r="D6" i="1"/>
  <c r="E6" i="1"/>
  <c r="F6" i="1"/>
  <c r="G6" i="1"/>
  <c r="H6" i="1"/>
  <c r="I6" i="1"/>
  <c r="J6" i="1"/>
  <c r="C6" i="1"/>
</calcChain>
</file>

<file path=xl/sharedStrings.xml><?xml version="1.0" encoding="utf-8"?>
<sst xmlns="http://schemas.openxmlformats.org/spreadsheetml/2006/main" count="70" uniqueCount="46">
  <si>
    <t>Nadogradnja</t>
  </si>
  <si>
    <t>Operativna</t>
  </si>
  <si>
    <t>Tehnička</t>
  </si>
  <si>
    <t>Vremenska</t>
  </si>
  <si>
    <t>Ekonomska</t>
  </si>
  <si>
    <t>Izrada vlastitog</t>
  </si>
  <si>
    <t>Ocjena alternative</t>
  </si>
  <si>
    <t>Nabava gotovog</t>
  </si>
  <si>
    <t>Konačan prijedlog
 alternative</t>
  </si>
  <si>
    <t>Mobilna aplikacija</t>
  </si>
  <si>
    <t>x</t>
  </si>
  <si>
    <t>Ljudski rad</t>
  </si>
  <si>
    <t>Funkcija</t>
  </si>
  <si>
    <t>Količina</t>
  </si>
  <si>
    <t>Cijena</t>
  </si>
  <si>
    <t>Analitičar sustava</t>
  </si>
  <si>
    <t>Ukupno</t>
  </si>
  <si>
    <t>Količina (u satima)</t>
  </si>
  <si>
    <t>Količina (u danima)</t>
  </si>
  <si>
    <t>Poduke za programere</t>
  </si>
  <si>
    <t>Materijal</t>
  </si>
  <si>
    <t>Edukacije</t>
  </si>
  <si>
    <t>Vrsta</t>
  </si>
  <si>
    <t>Oprema</t>
  </si>
  <si>
    <t>Cijena (po komadu)</t>
  </si>
  <si>
    <t>UKUPNO</t>
  </si>
  <si>
    <t>Analiza izvedivosti</t>
  </si>
  <si>
    <t>Analiza troškova - Izrada vlastitog sustava</t>
  </si>
  <si>
    <t>Cijena (KM po satu)</t>
  </si>
  <si>
    <t>Backend Developer</t>
  </si>
  <si>
    <t>Voditelj projekta</t>
  </si>
  <si>
    <t>Frontend developer</t>
  </si>
  <si>
    <t>Cijena (KM po danu)</t>
  </si>
  <si>
    <t>Poduka za administratora</t>
  </si>
  <si>
    <t>Izrada dokumentacije</t>
  </si>
  <si>
    <t>Potrebna literatura</t>
  </si>
  <si>
    <t>Licence za potrebne programe</t>
  </si>
  <si>
    <t>Održavanje Web servera (godišnje)</t>
  </si>
  <si>
    <t>Iznajmljivanje domene (godišnje)</t>
  </si>
  <si>
    <t>Proces autorizacije</t>
  </si>
  <si>
    <t>Proces kreiranja ponuda</t>
  </si>
  <si>
    <t>Sučelje za korisnike</t>
  </si>
  <si>
    <t>Sučelje za administratora</t>
  </si>
  <si>
    <t>Proces rezerviranja</t>
  </si>
  <si>
    <t>Sigurnost podataka</t>
  </si>
  <si>
    <t>Web aplikacija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</si>
</sst>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3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0" xfId="0" applyFont="1"/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1" fillId="0" borderId="30" xfId="0" applyFont="1" applyBorder="1"/>
    <xf numFmtId="0" fontId="0" fillId="0" borderId="30" xfId="0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27" xfId="0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0" fontId="0" fillId="0" borderId="31" xfId="0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3" fillId="0" borderId="0" xfId="0" applyFont="1"/>
    <xf numFmtId="0" fontId="2" fillId="0" borderId="32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4" xfId="0" applyFont="1" applyBorder="1"/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I20" sqref="I20"/>
    </sheetView>
  </sheetViews>
  <sheetFormatPr defaultRowHeight="15" x14ac:dyDescent="0.25"/>
  <cols>
    <col min="1" max="1" width="18.5703125" customWidth="1"/>
    <col min="2" max="2" width="18.7109375" customWidth="1"/>
    <col min="3" max="3" width="11.85546875" customWidth="1"/>
    <col min="4" max="4" width="15.28515625" customWidth="1"/>
    <col min="5" max="5" width="11.85546875" customWidth="1"/>
    <col min="6" max="6" width="14" customWidth="1"/>
    <col min="7" max="10" width="11.85546875" customWidth="1"/>
  </cols>
  <sheetData>
    <row r="1" spans="1:10" s="1" customFormat="1" ht="45.75" thickBot="1" x14ac:dyDescent="0.3">
      <c r="A1" s="53" t="s">
        <v>26</v>
      </c>
      <c r="B1" s="54"/>
      <c r="C1" s="9" t="s">
        <v>39</v>
      </c>
      <c r="D1" s="10" t="s">
        <v>40</v>
      </c>
      <c r="E1" s="10" t="s">
        <v>41</v>
      </c>
      <c r="F1" s="10" t="s">
        <v>42</v>
      </c>
      <c r="G1" s="10" t="s">
        <v>43</v>
      </c>
      <c r="H1" s="10" t="s">
        <v>44</v>
      </c>
      <c r="I1" s="10" t="s">
        <v>45</v>
      </c>
      <c r="J1" s="11" t="s">
        <v>9</v>
      </c>
    </row>
    <row r="2" spans="1:10" x14ac:dyDescent="0.25">
      <c r="A2" s="62" t="s">
        <v>0</v>
      </c>
      <c r="B2" s="6" t="s">
        <v>1</v>
      </c>
      <c r="C2" s="12">
        <v>2</v>
      </c>
      <c r="D2" s="13">
        <v>2</v>
      </c>
      <c r="E2" s="13">
        <v>2</v>
      </c>
      <c r="F2" s="13">
        <v>3</v>
      </c>
      <c r="G2" s="13">
        <v>2</v>
      </c>
      <c r="H2" s="13">
        <v>3</v>
      </c>
      <c r="I2" s="13">
        <v>2</v>
      </c>
      <c r="J2" s="3">
        <v>3</v>
      </c>
    </row>
    <row r="3" spans="1:10" x14ac:dyDescent="0.25">
      <c r="A3" s="56"/>
      <c r="B3" s="7" t="s">
        <v>2</v>
      </c>
      <c r="C3" s="2">
        <v>2</v>
      </c>
      <c r="D3" s="14">
        <v>1</v>
      </c>
      <c r="E3" s="14">
        <v>2</v>
      </c>
      <c r="F3" s="14">
        <v>2</v>
      </c>
      <c r="G3" s="14">
        <v>2</v>
      </c>
      <c r="H3" s="14">
        <v>3</v>
      </c>
      <c r="I3" s="14">
        <v>3</v>
      </c>
      <c r="J3" s="4">
        <v>3</v>
      </c>
    </row>
    <row r="4" spans="1:10" x14ac:dyDescent="0.25">
      <c r="A4" s="56"/>
      <c r="B4" s="7" t="s">
        <v>3</v>
      </c>
      <c r="C4" s="2">
        <v>2</v>
      </c>
      <c r="D4" s="14">
        <v>2</v>
      </c>
      <c r="E4" s="14">
        <v>2</v>
      </c>
      <c r="F4" s="14">
        <v>2</v>
      </c>
      <c r="G4" s="14">
        <v>1</v>
      </c>
      <c r="H4" s="14">
        <v>3</v>
      </c>
      <c r="I4" s="14">
        <v>2</v>
      </c>
      <c r="J4" s="4">
        <v>3</v>
      </c>
    </row>
    <row r="5" spans="1:10" ht="15.75" thickBot="1" x14ac:dyDescent="0.3">
      <c r="A5" s="57"/>
      <c r="B5" s="8" t="s">
        <v>4</v>
      </c>
      <c r="C5" s="15">
        <v>2</v>
      </c>
      <c r="D5" s="16">
        <v>1</v>
      </c>
      <c r="E5" s="16">
        <v>2</v>
      </c>
      <c r="F5" s="16">
        <v>2</v>
      </c>
      <c r="G5" s="16">
        <v>1</v>
      </c>
      <c r="H5" s="16">
        <v>3</v>
      </c>
      <c r="I5" s="16">
        <v>2</v>
      </c>
      <c r="J5" s="17">
        <v>3</v>
      </c>
    </row>
    <row r="6" spans="1:10" ht="15.75" thickBot="1" x14ac:dyDescent="0.3">
      <c r="A6" s="58" t="s">
        <v>6</v>
      </c>
      <c r="B6" s="59"/>
      <c r="C6" s="38">
        <f>AVERAGE(C2:C5)</f>
        <v>2</v>
      </c>
      <c r="D6" s="38">
        <f t="shared" ref="D6:J6" si="0">AVERAGE(D2:D5)</f>
        <v>1.5</v>
      </c>
      <c r="E6" s="38">
        <f t="shared" si="0"/>
        <v>2</v>
      </c>
      <c r="F6" s="38">
        <f t="shared" si="0"/>
        <v>2.25</v>
      </c>
      <c r="G6" s="38">
        <f t="shared" si="0"/>
        <v>1.5</v>
      </c>
      <c r="H6" s="38">
        <f t="shared" si="0"/>
        <v>3</v>
      </c>
      <c r="I6" s="38">
        <f t="shared" si="0"/>
        <v>2.25</v>
      </c>
      <c r="J6" s="63">
        <f t="shared" si="0"/>
        <v>3</v>
      </c>
    </row>
    <row r="7" spans="1:10" x14ac:dyDescent="0.25">
      <c r="A7" s="62" t="s">
        <v>5</v>
      </c>
      <c r="B7" s="6" t="s">
        <v>1</v>
      </c>
      <c r="C7" s="18">
        <v>2</v>
      </c>
      <c r="D7" s="19">
        <v>2</v>
      </c>
      <c r="E7" s="19">
        <v>3</v>
      </c>
      <c r="F7" s="19">
        <v>2</v>
      </c>
      <c r="G7" s="19">
        <v>3</v>
      </c>
      <c r="H7" s="19">
        <v>3</v>
      </c>
      <c r="I7" s="19">
        <v>1</v>
      </c>
      <c r="J7" s="20">
        <v>1</v>
      </c>
    </row>
    <row r="8" spans="1:10" x14ac:dyDescent="0.25">
      <c r="A8" s="56"/>
      <c r="B8" s="7" t="s">
        <v>2</v>
      </c>
      <c r="C8" s="2">
        <v>2</v>
      </c>
      <c r="D8" s="14">
        <v>2</v>
      </c>
      <c r="E8" s="14">
        <v>3</v>
      </c>
      <c r="F8" s="14">
        <v>2</v>
      </c>
      <c r="G8" s="14">
        <v>2</v>
      </c>
      <c r="H8" s="14">
        <v>2</v>
      </c>
      <c r="I8" s="14">
        <v>2</v>
      </c>
      <c r="J8" s="4">
        <v>2</v>
      </c>
    </row>
    <row r="9" spans="1:10" x14ac:dyDescent="0.25">
      <c r="A9" s="56"/>
      <c r="B9" s="7" t="s">
        <v>3</v>
      </c>
      <c r="C9" s="2">
        <v>3</v>
      </c>
      <c r="D9" s="14">
        <v>3</v>
      </c>
      <c r="E9" s="14">
        <v>3</v>
      </c>
      <c r="F9" s="14">
        <v>3</v>
      </c>
      <c r="G9" s="14">
        <v>3</v>
      </c>
      <c r="H9" s="14">
        <v>3</v>
      </c>
      <c r="I9" s="14">
        <v>3</v>
      </c>
      <c r="J9" s="4">
        <v>3</v>
      </c>
    </row>
    <row r="10" spans="1:10" ht="15.75" thickBot="1" x14ac:dyDescent="0.3">
      <c r="A10" s="57"/>
      <c r="B10" s="8" t="s">
        <v>4</v>
      </c>
      <c r="C10" s="15">
        <v>3</v>
      </c>
      <c r="D10" s="16">
        <v>2</v>
      </c>
      <c r="E10" s="16">
        <v>3</v>
      </c>
      <c r="F10" s="16">
        <v>3</v>
      </c>
      <c r="G10" s="16">
        <v>2</v>
      </c>
      <c r="H10" s="16">
        <v>1</v>
      </c>
      <c r="I10" s="16">
        <v>1</v>
      </c>
      <c r="J10" s="17">
        <v>2</v>
      </c>
    </row>
    <row r="11" spans="1:10" ht="15.75" thickBot="1" x14ac:dyDescent="0.3">
      <c r="A11" s="58" t="s">
        <v>6</v>
      </c>
      <c r="B11" s="59"/>
      <c r="C11" s="38">
        <f>AVERAGE(C7:C10)</f>
        <v>2.5</v>
      </c>
      <c r="D11" s="38">
        <f t="shared" ref="D11:J11" si="1">AVERAGE(D7:D10)</f>
        <v>2.25</v>
      </c>
      <c r="E11" s="38">
        <f t="shared" si="1"/>
        <v>3</v>
      </c>
      <c r="F11" s="38">
        <f t="shared" si="1"/>
        <v>2.5</v>
      </c>
      <c r="G11" s="38">
        <f t="shared" si="1"/>
        <v>2.5</v>
      </c>
      <c r="H11" s="38">
        <f t="shared" si="1"/>
        <v>2.25</v>
      </c>
      <c r="I11" s="38">
        <f t="shared" si="1"/>
        <v>1.75</v>
      </c>
      <c r="J11" s="63">
        <f t="shared" si="1"/>
        <v>2</v>
      </c>
    </row>
    <row r="12" spans="1:10" x14ac:dyDescent="0.25">
      <c r="A12" s="62" t="s">
        <v>7</v>
      </c>
      <c r="B12" s="6" t="s">
        <v>1</v>
      </c>
      <c r="C12" s="18">
        <v>2</v>
      </c>
      <c r="D12" s="19">
        <v>2</v>
      </c>
      <c r="E12" s="19">
        <v>1</v>
      </c>
      <c r="F12" s="19">
        <v>2</v>
      </c>
      <c r="G12" s="19">
        <v>1</v>
      </c>
      <c r="H12" s="19">
        <v>1</v>
      </c>
      <c r="I12" s="19">
        <v>1</v>
      </c>
      <c r="J12" s="20">
        <v>2</v>
      </c>
    </row>
    <row r="13" spans="1:10" x14ac:dyDescent="0.25">
      <c r="A13" s="56"/>
      <c r="B13" s="7" t="s">
        <v>2</v>
      </c>
      <c r="C13" s="2">
        <v>2</v>
      </c>
      <c r="D13" s="14">
        <v>1</v>
      </c>
      <c r="E13" s="14">
        <v>1</v>
      </c>
      <c r="F13" s="14">
        <v>2</v>
      </c>
      <c r="G13" s="14">
        <v>2</v>
      </c>
      <c r="H13" s="14">
        <v>1</v>
      </c>
      <c r="I13" s="14">
        <v>2</v>
      </c>
      <c r="J13" s="4">
        <v>2</v>
      </c>
    </row>
    <row r="14" spans="1:10" x14ac:dyDescent="0.25">
      <c r="A14" s="56"/>
      <c r="B14" s="7" t="s">
        <v>3</v>
      </c>
      <c r="C14" s="2">
        <v>1</v>
      </c>
      <c r="D14" s="14">
        <v>1</v>
      </c>
      <c r="E14" s="14">
        <v>2</v>
      </c>
      <c r="F14" s="14">
        <v>1</v>
      </c>
      <c r="G14" s="14">
        <v>1</v>
      </c>
      <c r="H14" s="14">
        <v>3</v>
      </c>
      <c r="I14" s="14">
        <v>2</v>
      </c>
      <c r="J14" s="4">
        <v>3</v>
      </c>
    </row>
    <row r="15" spans="1:10" ht="15.75" thickBot="1" x14ac:dyDescent="0.3">
      <c r="A15" s="57"/>
      <c r="B15" s="8" t="s">
        <v>4</v>
      </c>
      <c r="C15" s="15">
        <v>1</v>
      </c>
      <c r="D15" s="16">
        <v>1</v>
      </c>
      <c r="E15" s="16">
        <v>2</v>
      </c>
      <c r="F15" s="16">
        <v>2</v>
      </c>
      <c r="G15" s="16">
        <v>1</v>
      </c>
      <c r="H15" s="16">
        <v>3</v>
      </c>
      <c r="I15" s="16">
        <v>3</v>
      </c>
      <c r="J15" s="17">
        <v>3</v>
      </c>
    </row>
    <row r="16" spans="1:10" ht="15.75" thickBot="1" x14ac:dyDescent="0.3">
      <c r="A16" s="60" t="s">
        <v>6</v>
      </c>
      <c r="B16" s="61"/>
      <c r="C16" s="38">
        <f>AVERAGE(C12:C15)</f>
        <v>1.5</v>
      </c>
      <c r="D16" s="38">
        <f t="shared" ref="D16:J16" si="2">AVERAGE(D12:D15)</f>
        <v>1.25</v>
      </c>
      <c r="E16" s="38">
        <f t="shared" si="2"/>
        <v>1.5</v>
      </c>
      <c r="F16" s="38">
        <f t="shared" si="2"/>
        <v>1.75</v>
      </c>
      <c r="G16" s="38">
        <f t="shared" si="2"/>
        <v>1.25</v>
      </c>
      <c r="H16" s="38">
        <f t="shared" si="2"/>
        <v>2</v>
      </c>
      <c r="I16" s="38">
        <f t="shared" si="2"/>
        <v>2</v>
      </c>
      <c r="J16" s="63">
        <f t="shared" si="2"/>
        <v>2.5</v>
      </c>
    </row>
    <row r="17" spans="1:10" ht="1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ht="15" customHeight="1" x14ac:dyDescent="0.25">
      <c r="A18" s="55" t="s">
        <v>8</v>
      </c>
      <c r="B18" s="6" t="s">
        <v>0</v>
      </c>
      <c r="C18" s="12"/>
      <c r="D18" s="13"/>
      <c r="E18" s="13"/>
      <c r="F18" s="13"/>
      <c r="G18" s="41"/>
      <c r="H18" s="41"/>
      <c r="I18" s="13"/>
      <c r="J18" s="3"/>
    </row>
    <row r="19" spans="1:10" x14ac:dyDescent="0.25">
      <c r="A19" s="56"/>
      <c r="B19" s="7" t="s">
        <v>5</v>
      </c>
      <c r="C19" s="39" t="s">
        <v>10</v>
      </c>
      <c r="D19" s="40" t="s">
        <v>10</v>
      </c>
      <c r="E19" s="40" t="s">
        <v>10</v>
      </c>
      <c r="F19" s="40" t="s">
        <v>10</v>
      </c>
      <c r="G19" s="14"/>
      <c r="H19" s="65" t="s">
        <v>10</v>
      </c>
      <c r="I19" s="14"/>
      <c r="J19" s="4"/>
    </row>
    <row r="20" spans="1:10" ht="15.75" thickBot="1" x14ac:dyDescent="0.3">
      <c r="A20" s="57"/>
      <c r="B20" s="8" t="s">
        <v>7</v>
      </c>
      <c r="C20" s="21"/>
      <c r="D20" s="22"/>
      <c r="E20" s="22"/>
      <c r="F20" s="22"/>
      <c r="G20" s="64" t="s">
        <v>10</v>
      </c>
      <c r="H20" s="22"/>
      <c r="I20" s="42" t="s">
        <v>10</v>
      </c>
      <c r="J20" s="43" t="s">
        <v>10</v>
      </c>
    </row>
  </sheetData>
  <mergeCells count="8">
    <mergeCell ref="A1:B1"/>
    <mergeCell ref="A18:A20"/>
    <mergeCell ref="A6:B6"/>
    <mergeCell ref="A11:B11"/>
    <mergeCell ref="A16:B16"/>
    <mergeCell ref="A2:A5"/>
    <mergeCell ref="A7:A10"/>
    <mergeCell ref="A12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>
      <selection activeCell="F15" sqref="F15"/>
    </sheetView>
  </sheetViews>
  <sheetFormatPr defaultRowHeight="15" x14ac:dyDescent="0.25"/>
  <cols>
    <col min="1" max="1" width="32.42578125" customWidth="1"/>
    <col min="2" max="2" width="20.42578125" style="1" customWidth="1"/>
    <col min="3" max="3" width="19.28515625" style="1" customWidth="1"/>
    <col min="4" max="4" width="10.42578125" style="1" customWidth="1"/>
  </cols>
  <sheetData>
    <row r="1" spans="1:4" ht="17.25" x14ac:dyDescent="0.3">
      <c r="A1" s="46" t="s">
        <v>27</v>
      </c>
    </row>
    <row r="3" spans="1:4" ht="15.75" thickBot="1" x14ac:dyDescent="0.3">
      <c r="A3" s="23" t="s">
        <v>11</v>
      </c>
    </row>
    <row r="4" spans="1:4" ht="15.75" thickBot="1" x14ac:dyDescent="0.3">
      <c r="A4" s="32" t="s">
        <v>12</v>
      </c>
      <c r="B4" s="29" t="s">
        <v>17</v>
      </c>
      <c r="C4" s="24" t="s">
        <v>28</v>
      </c>
      <c r="D4" s="25" t="s">
        <v>16</v>
      </c>
    </row>
    <row r="5" spans="1:4" x14ac:dyDescent="0.25">
      <c r="A5" s="33" t="s">
        <v>15</v>
      </c>
      <c r="B5" s="30">
        <v>250</v>
      </c>
      <c r="C5" s="19">
        <v>12</v>
      </c>
      <c r="D5" s="20">
        <f>B5*C5</f>
        <v>3000</v>
      </c>
    </row>
    <row r="6" spans="1:4" x14ac:dyDescent="0.25">
      <c r="A6" s="36" t="s">
        <v>31</v>
      </c>
      <c r="B6" s="35">
        <v>200</v>
      </c>
      <c r="C6" s="14">
        <v>15</v>
      </c>
      <c r="D6" s="4">
        <f t="shared" ref="D6:D8" si="0">B6*C6</f>
        <v>3000</v>
      </c>
    </row>
    <row r="7" spans="1:4" x14ac:dyDescent="0.25">
      <c r="A7" s="36" t="s">
        <v>29</v>
      </c>
      <c r="B7" s="35">
        <v>80</v>
      </c>
      <c r="C7" s="14">
        <v>15</v>
      </c>
      <c r="D7" s="4">
        <f t="shared" si="0"/>
        <v>1200</v>
      </c>
    </row>
    <row r="8" spans="1:4" ht="15.75" thickBot="1" x14ac:dyDescent="0.3">
      <c r="A8" s="34" t="s">
        <v>30</v>
      </c>
      <c r="B8" s="31">
        <v>280</v>
      </c>
      <c r="C8" s="22">
        <v>15</v>
      </c>
      <c r="D8" s="5">
        <f t="shared" si="0"/>
        <v>4200</v>
      </c>
    </row>
    <row r="10" spans="1:4" ht="15.75" thickBot="1" x14ac:dyDescent="0.3">
      <c r="A10" s="27" t="s">
        <v>21</v>
      </c>
      <c r="B10" s="28"/>
      <c r="C10" s="28"/>
      <c r="D10" s="28"/>
    </row>
    <row r="11" spans="1:4" ht="15.75" thickBot="1" x14ac:dyDescent="0.3">
      <c r="A11" s="32" t="s">
        <v>22</v>
      </c>
      <c r="B11" s="29" t="s">
        <v>18</v>
      </c>
      <c r="C11" s="24" t="s">
        <v>32</v>
      </c>
      <c r="D11" s="25" t="s">
        <v>16</v>
      </c>
    </row>
    <row r="12" spans="1:4" x14ac:dyDescent="0.25">
      <c r="A12" s="33" t="s">
        <v>19</v>
      </c>
      <c r="B12" s="30">
        <v>3</v>
      </c>
      <c r="C12" s="19">
        <v>300</v>
      </c>
      <c r="D12" s="20">
        <f>B12*C12</f>
        <v>900</v>
      </c>
    </row>
    <row r="13" spans="1:4" ht="15.75" thickBot="1" x14ac:dyDescent="0.3">
      <c r="A13" s="34" t="s">
        <v>33</v>
      </c>
      <c r="B13" s="31">
        <v>3</v>
      </c>
      <c r="C13" s="22">
        <v>250</v>
      </c>
      <c r="D13" s="5">
        <f>B13*C13</f>
        <v>750</v>
      </c>
    </row>
    <row r="15" spans="1:4" ht="15.75" thickBot="1" x14ac:dyDescent="0.3">
      <c r="A15" s="23" t="s">
        <v>20</v>
      </c>
    </row>
    <row r="16" spans="1:4" ht="15.75" thickBot="1" x14ac:dyDescent="0.3">
      <c r="A16" s="32" t="s">
        <v>22</v>
      </c>
      <c r="B16" s="37"/>
      <c r="C16" s="26"/>
      <c r="D16" s="25" t="s">
        <v>14</v>
      </c>
    </row>
    <row r="17" spans="1:4" x14ac:dyDescent="0.25">
      <c r="A17" s="33" t="s">
        <v>34</v>
      </c>
      <c r="B17" s="30"/>
      <c r="C17" s="19"/>
      <c r="D17" s="20">
        <v>200</v>
      </c>
    </row>
    <row r="18" spans="1:4" ht="15.75" thickBot="1" x14ac:dyDescent="0.3">
      <c r="A18" s="34" t="s">
        <v>35</v>
      </c>
      <c r="B18" s="31"/>
      <c r="C18" s="22"/>
      <c r="D18" s="5">
        <v>200</v>
      </c>
    </row>
    <row r="20" spans="1:4" ht="15.75" thickBot="1" x14ac:dyDescent="0.3">
      <c r="A20" s="23" t="s">
        <v>23</v>
      </c>
    </row>
    <row r="21" spans="1:4" ht="15.75" thickBot="1" x14ac:dyDescent="0.3">
      <c r="A21" s="32" t="s">
        <v>22</v>
      </c>
      <c r="B21" s="29" t="s">
        <v>13</v>
      </c>
      <c r="C21" s="24" t="s">
        <v>24</v>
      </c>
      <c r="D21" s="25" t="s">
        <v>16</v>
      </c>
    </row>
    <row r="22" spans="1:4" x14ac:dyDescent="0.25">
      <c r="A22" s="49" t="s">
        <v>38</v>
      </c>
      <c r="B22" s="47">
        <v>1</v>
      </c>
      <c r="C22" s="45">
        <v>350</v>
      </c>
      <c r="D22" s="20">
        <f>B22*C22</f>
        <v>350</v>
      </c>
    </row>
    <row r="23" spans="1:4" x14ac:dyDescent="0.25">
      <c r="A23" s="36" t="s">
        <v>36</v>
      </c>
      <c r="B23" s="48">
        <v>1</v>
      </c>
      <c r="C23" s="14">
        <v>200</v>
      </c>
      <c r="D23" s="4">
        <f>B23*C23</f>
        <v>200</v>
      </c>
    </row>
    <row r="24" spans="1:4" ht="15.75" thickBot="1" x14ac:dyDescent="0.3">
      <c r="A24" s="34" t="s">
        <v>37</v>
      </c>
      <c r="B24" s="31">
        <v>1</v>
      </c>
      <c r="C24" s="22">
        <v>400</v>
      </c>
      <c r="D24" s="5">
        <f t="shared" ref="D24" si="1">B24*C24</f>
        <v>400</v>
      </c>
    </row>
    <row r="25" spans="1:4" ht="15.75" thickBot="1" x14ac:dyDescent="0.3"/>
    <row r="26" spans="1:4" ht="15.75" thickBot="1" x14ac:dyDescent="0.3">
      <c r="A26" s="50" t="s">
        <v>25</v>
      </c>
      <c r="B26" s="51"/>
      <c r="C26" s="52"/>
      <c r="D26" s="44">
        <f>SUM(D1:D25)</f>
        <v>14400</v>
      </c>
    </row>
  </sheetData>
  <mergeCells count="1">
    <mergeCell ref="A26:C2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AFC1106DB8A04488E866355A5CEB218" ma:contentTypeVersion="2" ma:contentTypeDescription="Stvaranje novog dokumenta." ma:contentTypeScope="" ma:versionID="cf5653b097a0dc1db313e4d0258d9f51">
  <xsd:schema xmlns:xsd="http://www.w3.org/2001/XMLSchema" xmlns:p="http://schemas.microsoft.com/office/2006/metadata/properties" xmlns:ns2="d34a4129-52ec-4ee5-bc77-23d8e5f94cfd" targetNamespace="http://schemas.microsoft.com/office/2006/metadata/properties" ma:root="true" ma:fieldsID="3c81d14dc3ad95f274f0f0999b8e60d5" ns2:_="">
    <xsd:import namespace="d34a4129-52ec-4ee5-bc77-23d8e5f94cfd"/>
    <xsd:element name="properties">
      <xsd:complexType>
        <xsd:sequence>
          <xsd:element name="documentManagement">
            <xsd:complexType>
              <xsd:all>
                <xsd:element ref="ns2:Komenta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34a4129-52ec-4ee5-bc77-23d8e5f94cfd" elementFormDefault="qualified">
    <xsd:import namespace="http://schemas.microsoft.com/office/2006/documentManagement/types"/>
    <xsd:element name="Komentar" ma:index="8" nillable="true" ma:displayName="Komentar" ma:internalName="Komentar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 ma:readOnly="tru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Komentar xmlns="d34a4129-52ec-4ee5-bc77-23d8e5f94cfd" xsi:nil="true"/>
  </documentManagement>
</p:properties>
</file>

<file path=customXml/itemProps1.xml><?xml version="1.0" encoding="utf-8"?>
<ds:datastoreItem xmlns:ds="http://schemas.openxmlformats.org/officeDocument/2006/customXml" ds:itemID="{033D9B50-45AF-432E-87DC-2944701B19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4a4129-52ec-4ee5-bc77-23d8e5f94cfd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D5758EF3-F7D3-4420-8E13-AF1AC80FD1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7DA977-5768-4922-8197-65E8CF2221D8}">
  <ds:schemaRefs>
    <ds:schemaRef ds:uri="http://schemas.microsoft.com/office/2006/metadata/properties"/>
    <ds:schemaRef ds:uri="d34a4129-52ec-4ee5-bc77-23d8e5f94cf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Analiza izvedivosti</vt:lpstr>
      <vt:lpstr>Analiza troškova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Novine-StudijaIzvedivosti</dc:title>
  <dc:creator>Jelena Baksa</dc:creator>
  <cp:lastModifiedBy>Mate Maric</cp:lastModifiedBy>
  <dcterms:created xsi:type="dcterms:W3CDTF">2014-03-20T08:46:49Z</dcterms:created>
  <dcterms:modified xsi:type="dcterms:W3CDTF">2026-04-21T08:04:11Z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0x0101007AFC1106DB8A04488E866355A5CEB218</vt:lpwstr>
  </property>
</Properties>
</file>